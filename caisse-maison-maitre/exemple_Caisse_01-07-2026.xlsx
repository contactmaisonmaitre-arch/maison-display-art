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sse 01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;[Red]-#,##0.00 &quot;€&quot;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FF"/>
      <sz val="11"/>
    </font>
    <font>
      <name val="Arial"/>
      <b val="1"/>
      <color rgb="00000000"/>
      <sz val="10"/>
    </font>
    <font>
      <name val="Arial"/>
      <i val="1"/>
      <color rgb="00808080"/>
      <sz val="9"/>
    </font>
    <font>
      <name val="Arial"/>
      <i val="1"/>
      <color rgb="00404040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4" customWidth="1" min="4" max="4"/>
    <col width="36" customWidth="1" min="5" max="5"/>
  </cols>
  <sheetData>
    <row r="1" ht="24" customHeight="1">
      <c r="A1" s="1" t="inlineStr">
        <is>
          <t>CAISSE  —  Date : 01-07-2026</t>
        </is>
      </c>
    </row>
    <row r="2">
      <c r="A2" s="2" t="inlineStr"/>
      <c r="C2" s="3" t="inlineStr">
        <is>
          <t>Nombre</t>
        </is>
      </c>
      <c r="D2" s="3" t="inlineStr">
        <is>
          <t>Total</t>
        </is>
      </c>
    </row>
    <row r="3">
      <c r="A3" s="4" t="inlineStr">
        <is>
          <t>Billets</t>
        </is>
      </c>
    </row>
    <row r="4">
      <c r="A4" s="5" t="inlineStr">
        <is>
          <t>100</t>
        </is>
      </c>
      <c r="C4" s="6" t="n">
        <v>0</v>
      </c>
      <c r="D4" s="7">
        <f>C4*100</f>
        <v/>
      </c>
    </row>
    <row r="5">
      <c r="A5" s="5" t="inlineStr">
        <is>
          <t>50</t>
        </is>
      </c>
      <c r="C5" s="6" t="n">
        <v>1</v>
      </c>
      <c r="D5" s="7">
        <f>C5*50</f>
        <v/>
      </c>
    </row>
    <row r="6">
      <c r="A6" s="5" t="inlineStr">
        <is>
          <t>20</t>
        </is>
      </c>
      <c r="C6" s="6" t="n">
        <v>7</v>
      </c>
      <c r="D6" s="7">
        <f>C6*20</f>
        <v/>
      </c>
    </row>
    <row r="7">
      <c r="A7" s="5" t="inlineStr">
        <is>
          <t>10</t>
        </is>
      </c>
      <c r="C7" s="6" t="n">
        <v>20</v>
      </c>
      <c r="D7" s="7">
        <f>C7*10</f>
        <v/>
      </c>
    </row>
    <row r="8">
      <c r="A8" s="5" t="inlineStr">
        <is>
          <t>5</t>
        </is>
      </c>
      <c r="C8" s="6" t="n">
        <v>7</v>
      </c>
      <c r="D8" s="7">
        <f>C8*5</f>
        <v/>
      </c>
    </row>
    <row r="9">
      <c r="A9" s="4" t="inlineStr">
        <is>
          <t>Pièces</t>
        </is>
      </c>
    </row>
    <row r="10">
      <c r="A10" s="5" t="inlineStr">
        <is>
          <t>2</t>
        </is>
      </c>
      <c r="C10" s="6" t="n">
        <v>12</v>
      </c>
      <c r="D10" s="7">
        <f>C10*2</f>
        <v/>
      </c>
    </row>
    <row r="11">
      <c r="A11" s="5" t="inlineStr">
        <is>
          <t>1</t>
        </is>
      </c>
      <c r="C11" s="6" t="n">
        <v>16</v>
      </c>
      <c r="D11" s="7">
        <f>C11*1</f>
        <v/>
      </c>
    </row>
    <row r="12">
      <c r="A12" s="5" t="inlineStr">
        <is>
          <t>0,5</t>
        </is>
      </c>
      <c r="C12" s="6" t="n">
        <v>19</v>
      </c>
      <c r="D12" s="7">
        <f>C12*0.5</f>
        <v/>
      </c>
    </row>
    <row r="13">
      <c r="A13" s="5" t="inlineStr">
        <is>
          <t>0,2</t>
        </is>
      </c>
      <c r="C13" s="6" t="n">
        <v>50</v>
      </c>
      <c r="D13" s="7">
        <f>C13*0.2</f>
        <v/>
      </c>
    </row>
    <row r="14">
      <c r="A14" s="5" t="inlineStr">
        <is>
          <t>0,1</t>
        </is>
      </c>
      <c r="C14" s="6" t="n">
        <v>13</v>
      </c>
      <c r="D14" s="7">
        <f>C14*0.1</f>
        <v/>
      </c>
    </row>
    <row r="15">
      <c r="A15" s="5" t="inlineStr">
        <is>
          <t>0,05</t>
        </is>
      </c>
      <c r="C15" s="6" t="n">
        <v>3</v>
      </c>
      <c r="D15" s="7">
        <f>C15*0.05</f>
        <v/>
      </c>
    </row>
    <row r="16">
      <c r="A16" s="5" t="inlineStr">
        <is>
          <t>0,02</t>
        </is>
      </c>
      <c r="C16" s="6" t="n">
        <v>14</v>
      </c>
      <c r="D16" s="7">
        <f>C16*0.02</f>
        <v/>
      </c>
    </row>
    <row r="17">
      <c r="A17" s="5" t="inlineStr">
        <is>
          <t>0,01</t>
        </is>
      </c>
      <c r="C17" s="6" t="n">
        <v>62</v>
      </c>
      <c r="D17" s="7">
        <f>C17*0.01</f>
        <v/>
      </c>
    </row>
    <row r="18">
      <c r="A18" s="8" t="inlineStr">
        <is>
          <t>Sous-total ESPÈCES</t>
        </is>
      </c>
      <c r="D18" s="9">
        <f>SUM(D4:D8)+SUM(D10:D17)</f>
        <v/>
      </c>
    </row>
    <row r="19">
      <c r="A19" s="10" t="inlineStr">
        <is>
          <t>Chèques  (noté à part — hors caisse physique)</t>
        </is>
      </c>
    </row>
    <row r="20">
      <c r="A20" s="11" t="inlineStr">
        <is>
          <t>—</t>
        </is>
      </c>
      <c r="C20" s="12" t="inlineStr"/>
      <c r="D20" s="13" t="n">
        <v>0</v>
      </c>
    </row>
    <row r="21">
      <c r="A21" s="3" t="inlineStr">
        <is>
          <t>A</t>
        </is>
      </c>
      <c r="B21" s="14" t="inlineStr">
        <is>
          <t>Espèces à transmettre à la banque</t>
        </is>
      </c>
      <c r="C21" s="12" t="inlineStr"/>
      <c r="D21" s="13" t="n">
        <v>0</v>
      </c>
    </row>
    <row r="22">
      <c r="A22" s="3" t="inlineStr">
        <is>
          <t>B</t>
        </is>
      </c>
      <c r="B22" s="14" t="inlineStr">
        <is>
          <t>Rouleaux et Billets non ouverts</t>
        </is>
      </c>
      <c r="C22" s="12" t="inlineStr"/>
      <c r="D22" s="13" t="n">
        <v>0</v>
      </c>
    </row>
    <row r="23">
      <c r="A23" s="3" t="inlineStr">
        <is>
          <t>C</t>
        </is>
      </c>
      <c r="B23" s="15" t="inlineStr">
        <is>
          <t>Total du Jour</t>
        </is>
      </c>
      <c r="C23" s="12" t="inlineStr"/>
      <c r="D23" s="16">
        <f>D18</f>
        <v/>
      </c>
      <c r="E23" s="17" t="inlineStr">
        <is>
          <t>Espèces comptées (chèque exclu)</t>
        </is>
      </c>
    </row>
    <row r="24">
      <c r="A24" s="3" t="inlineStr">
        <is>
          <t>D</t>
        </is>
      </c>
      <c r="B24" s="15" t="inlineStr">
        <is>
          <t>Total CAISSE (A+B+C)</t>
        </is>
      </c>
      <c r="C24" s="12" t="inlineStr"/>
      <c r="D24" s="16">
        <f>D21+D22+D23</f>
        <v/>
      </c>
    </row>
    <row r="25">
      <c r="A25" s="3" t="inlineStr">
        <is>
          <t>E</t>
        </is>
      </c>
      <c r="B25" s="14" t="inlineStr">
        <is>
          <t>Jour Précédent (report réel)</t>
        </is>
      </c>
      <c r="C25" s="12" t="inlineStr"/>
      <c r="D25" s="13" t="n">
        <v>358.55</v>
      </c>
      <c r="E25" s="17" t="inlineStr">
        <is>
          <t>958.55 - 600.00 déposés la veille</t>
        </is>
      </c>
    </row>
    <row r="26">
      <c r="A26" s="3" t="inlineStr">
        <is>
          <t>E'</t>
        </is>
      </c>
      <c r="B26" s="14" t="inlineStr">
        <is>
          <t>Déposé à la Banque</t>
        </is>
      </c>
      <c r="C26" s="12" t="inlineStr"/>
      <c r="D26" s="13" t="n">
        <v>0</v>
      </c>
    </row>
    <row r="27">
      <c r="A27" s="3" t="inlineStr">
        <is>
          <t>F</t>
        </is>
      </c>
      <c r="B27" s="15" t="inlineStr">
        <is>
          <t>Différence (D - E - E')</t>
        </is>
      </c>
      <c r="C27" s="12" t="inlineStr"/>
      <c r="D27" s="18">
        <f>D24-D25-D26</f>
        <v/>
      </c>
    </row>
    <row r="28">
      <c r="A28" s="3" t="inlineStr">
        <is>
          <t>G</t>
        </is>
      </c>
      <c r="B28" s="14" t="inlineStr">
        <is>
          <t>Ticket caisse du jour (espèces net)</t>
        </is>
      </c>
      <c r="C28" s="12" t="inlineStr"/>
      <c r="D28" s="13" t="n">
        <v>127.5</v>
      </c>
      <c r="E28" s="17" t="inlineStr">
        <is>
          <t>189,90 - rendu monnaie, etc.</t>
        </is>
      </c>
    </row>
    <row r="29">
      <c r="A29" s="3" t="inlineStr">
        <is>
          <t>H</t>
        </is>
      </c>
      <c r="B29" s="15" t="inlineStr">
        <is>
          <t>F - G</t>
        </is>
      </c>
      <c r="C29" s="12" t="inlineStr"/>
      <c r="D29" s="18">
        <f>D27-D28</f>
        <v/>
      </c>
      <c r="E29" s="17" t="inlineStr">
        <is>
          <t>Écart de caisse (doit être ~0)</t>
        </is>
      </c>
    </row>
    <row r="31">
      <c r="A31" s="19" t="inlineStr">
        <is>
          <t>Bleu = saisi  •  Noir = calcul auto  •  E = report réel (dépôt de la veille déduit)  •  Chèque hors total caisse  •  G = espèces net du ticket</t>
        </is>
      </c>
    </row>
  </sheetData>
  <mergeCells count="25">
    <mergeCell ref="A15:B15"/>
    <mergeCell ref="A11:B11"/>
    <mergeCell ref="A18:C18"/>
    <mergeCell ref="E25"/>
    <mergeCell ref="A19:D19"/>
    <mergeCell ref="A6:B6"/>
    <mergeCell ref="A9:D9"/>
    <mergeCell ref="A16:B16"/>
    <mergeCell ref="A7:B7"/>
    <mergeCell ref="A12:B12"/>
    <mergeCell ref="E23"/>
    <mergeCell ref="A1:D1"/>
    <mergeCell ref="A2:B2"/>
    <mergeCell ref="A5:B5"/>
    <mergeCell ref="E29"/>
    <mergeCell ref="A14:B14"/>
    <mergeCell ref="A17:B17"/>
    <mergeCell ref="E28"/>
    <mergeCell ref="A8:B8"/>
    <mergeCell ref="A4:B4"/>
    <mergeCell ref="A20:B20"/>
    <mergeCell ref="A3:D3"/>
    <mergeCell ref="A10:B10"/>
    <mergeCell ref="A13:B13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2026-07-03T07:48:35Z</dcterms:created>
  <dcterms:modified xsi:type="dcterms:W3CDTF">2026-07-03T07:48:35Z</dcterms:modified>
</cp:coreProperties>
</file>